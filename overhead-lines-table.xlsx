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rs Eriksen\Documents\DTU\Electrical Power Systems\"/>
    </mc:Choice>
  </mc:AlternateContent>
  <xr:revisionPtr revIDLastSave="0" documentId="8_{9D6360CC-0579-4FCF-85DB-8D51D7DC0693}" xr6:coauthVersionLast="47" xr6:coauthVersionMax="47" xr10:uidLastSave="{00000000-0000-0000-0000-000000000000}"/>
  <bookViews>
    <workbookView xWindow="-120" yWindow="-120" windowWidth="29040" windowHeight="15720" xr2:uid="{DB6519F6-CE15-4DFA-ADA2-EB914FAE8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D8" i="1"/>
  <c r="B9" i="1"/>
  <c r="D9" i="1" s="1"/>
  <c r="C10" i="1"/>
  <c r="C7" i="1"/>
  <c r="D7" i="1"/>
  <c r="B7" i="1"/>
  <c r="D6" i="1"/>
  <c r="D5" i="1"/>
  <c r="B5" i="1"/>
  <c r="B6" i="1"/>
  <c r="D10" i="1" l="1"/>
  <c r="B10" i="1"/>
</calcChain>
</file>

<file path=xl/sharedStrings.xml><?xml version="1.0" encoding="utf-8"?>
<sst xmlns="http://schemas.openxmlformats.org/spreadsheetml/2006/main" count="42" uniqueCount="37">
  <si>
    <t>Generator</t>
  </si>
  <si>
    <t>Rated Apparent Power</t>
  </si>
  <si>
    <t>Technology</t>
  </si>
  <si>
    <t>Parallel Machines</t>
  </si>
  <si>
    <t>Moneypoint</t>
  </si>
  <si>
    <t>Coal</t>
  </si>
  <si>
    <t>339 MVA</t>
  </si>
  <si>
    <t>Ardnacrusha</t>
  </si>
  <si>
    <t>Hydro</t>
  </si>
  <si>
    <t>96 MVA</t>
  </si>
  <si>
    <t>Load Bus</t>
  </si>
  <si>
    <t>P [MW]</t>
  </si>
  <si>
    <t>S [MVA]</t>
  </si>
  <si>
    <t>Q [MVAr]</t>
  </si>
  <si>
    <t>Limerick R</t>
  </si>
  <si>
    <t>Limerick I</t>
  </si>
  <si>
    <t>Total</t>
  </si>
  <si>
    <t>Galway R</t>
  </si>
  <si>
    <t>Galway I</t>
  </si>
  <si>
    <t>Line</t>
  </si>
  <si>
    <t>Length</t>
  </si>
  <si>
    <t>Route</t>
  </si>
  <si>
    <t>Voltage</t>
  </si>
  <si>
    <t>400kV</t>
  </si>
  <si>
    <t>Moneypoint-Oldstreet</t>
  </si>
  <si>
    <t>140km</t>
  </si>
  <si>
    <t>132kV</t>
  </si>
  <si>
    <t>Moneypoint-Limerick</t>
  </si>
  <si>
    <t>80km</t>
  </si>
  <si>
    <t>Moneypoint-Galway</t>
  </si>
  <si>
    <t>120km</t>
  </si>
  <si>
    <t>Ardnacrusha-Limerick</t>
  </si>
  <si>
    <t>Ardnacrusha-Oldstreet</t>
  </si>
  <si>
    <t>15km</t>
  </si>
  <si>
    <t>70km</t>
  </si>
  <si>
    <t>Oldstreet-Galway</t>
  </si>
  <si>
    <t>60km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</si>
</sst>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1A917-A4CF-4388-B24C-6DE3705AC9FC}">
  <dimension ref="A1:E17"/>
  <sheetViews>
    <sheetView tabSelected="1" zoomScale="188" workbookViewId="0">
      <selection activeCell="F11" sqref="F11"/>
    </sheetView>
  </sheetViews>
  <sheetFormatPr defaultRowHeight="15" x14ac:dyDescent="0.25"/>
  <cols>
    <col min="1" max="1" width="12.85546875" customWidth="1"/>
    <col min="2" max="2" width="11.28515625" customWidth="1"/>
    <col min="3" max="3" width="24.42578125" customWidth="1"/>
    <col min="4" max="4" width="17.7109375" customWidth="1"/>
  </cols>
  <sheetData>
    <row r="1" spans="1:5" ht="15.75" thickBot="1" x14ac:dyDescent="0.3">
      <c r="A1" s="2" t="s">
        <v>0</v>
      </c>
      <c r="B1" s="3" t="s">
        <v>2</v>
      </c>
      <c r="C1" s="3" t="s">
        <v>1</v>
      </c>
      <c r="D1" s="4" t="s">
        <v>3</v>
      </c>
      <c r="E1" s="1"/>
    </row>
    <row r="2" spans="1:5" x14ac:dyDescent="0.25">
      <c r="A2" s="5" t="s">
        <v>4</v>
      </c>
      <c r="B2" s="6" t="s">
        <v>5</v>
      </c>
      <c r="C2" s="6" t="s">
        <v>6</v>
      </c>
      <c r="D2" s="7">
        <v>3</v>
      </c>
    </row>
    <row r="3" spans="1:5" ht="15.75" thickBot="1" x14ac:dyDescent="0.3">
      <c r="A3" s="5" t="s">
        <v>7</v>
      </c>
      <c r="B3" s="6" t="s">
        <v>8</v>
      </c>
      <c r="C3" s="6" t="s">
        <v>9</v>
      </c>
      <c r="D3" s="7">
        <v>1</v>
      </c>
    </row>
    <row r="4" spans="1:5" ht="15.75" thickBot="1" x14ac:dyDescent="0.3">
      <c r="A4" s="2" t="s">
        <v>10</v>
      </c>
      <c r="B4" s="3" t="s">
        <v>12</v>
      </c>
      <c r="C4" s="3" t="s">
        <v>11</v>
      </c>
      <c r="D4" s="4" t="s">
        <v>13</v>
      </c>
    </row>
    <row r="5" spans="1:5" x14ac:dyDescent="0.25">
      <c r="A5" s="5" t="s">
        <v>14</v>
      </c>
      <c r="B5" s="13">
        <f>C5/0.9</f>
        <v>63.466666666666661</v>
      </c>
      <c r="C5" s="13">
        <v>57.12</v>
      </c>
      <c r="D5" s="14">
        <f>B5*SIN(ACOS(0.98))</f>
        <v>12.629707201673369</v>
      </c>
    </row>
    <row r="6" spans="1:5" x14ac:dyDescent="0.25">
      <c r="A6" s="5" t="s">
        <v>15</v>
      </c>
      <c r="B6" s="13">
        <f>C6/0.98</f>
        <v>24.979591836734695</v>
      </c>
      <c r="C6" s="13">
        <v>24.48</v>
      </c>
      <c r="D6" s="14">
        <f>B6*SIN(ACOS(0.98))</f>
        <v>4.9708760123204234</v>
      </c>
    </row>
    <row r="7" spans="1:5" x14ac:dyDescent="0.25">
      <c r="A7" s="8" t="s">
        <v>16</v>
      </c>
      <c r="B7" s="15">
        <f>SUM(B5:B6)</f>
        <v>88.446258503401353</v>
      </c>
      <c r="C7" s="15">
        <f t="shared" ref="C7:D7" si="0">SUM(C5:C6)</f>
        <v>81.599999999999994</v>
      </c>
      <c r="D7" s="16">
        <f t="shared" si="0"/>
        <v>17.600583213993794</v>
      </c>
    </row>
    <row r="8" spans="1:5" x14ac:dyDescent="0.25">
      <c r="A8" s="11" t="s">
        <v>17</v>
      </c>
      <c r="B8" s="17">
        <f>C8/0.9</f>
        <v>53.511111111111106</v>
      </c>
      <c r="C8" s="17">
        <v>48.16</v>
      </c>
      <c r="D8" s="18">
        <f>B8*SIN(ACOS(0.98))</f>
        <v>10.64857666023441</v>
      </c>
    </row>
    <row r="9" spans="1:5" x14ac:dyDescent="0.25">
      <c r="A9" s="5" t="s">
        <v>18</v>
      </c>
      <c r="B9" s="13">
        <f>C9/0.98</f>
        <v>14.742857142857144</v>
      </c>
      <c r="C9" s="13">
        <v>14.448</v>
      </c>
      <c r="D9" s="14">
        <f>B9*SIN(ACOS(0.98))</f>
        <v>2.9337915288400929</v>
      </c>
    </row>
    <row r="10" spans="1:5" ht="15.75" thickBot="1" x14ac:dyDescent="0.3">
      <c r="A10" s="5" t="s">
        <v>16</v>
      </c>
      <c r="B10" s="13">
        <f>SUM(B8:B9)</f>
        <v>68.253968253968253</v>
      </c>
      <c r="C10" s="13">
        <f t="shared" ref="C10" si="1">SUM(C8:C9)</f>
        <v>62.607999999999997</v>
      </c>
      <c r="D10" s="14">
        <f t="shared" ref="D10" si="2">SUM(D8:D9)</f>
        <v>13.582368189074502</v>
      </c>
    </row>
    <row r="11" spans="1:5" ht="15.75" thickBot="1" x14ac:dyDescent="0.3">
      <c r="A11" s="12" t="s">
        <v>19</v>
      </c>
      <c r="B11" s="3" t="s">
        <v>22</v>
      </c>
      <c r="C11" s="3" t="s">
        <v>21</v>
      </c>
      <c r="D11" s="4" t="s">
        <v>20</v>
      </c>
    </row>
    <row r="12" spans="1:5" x14ac:dyDescent="0.25">
      <c r="A12" s="5"/>
      <c r="B12" s="6" t="s">
        <v>23</v>
      </c>
      <c r="C12" s="6" t="s">
        <v>24</v>
      </c>
      <c r="D12" s="7" t="s">
        <v>25</v>
      </c>
    </row>
    <row r="13" spans="1:5" x14ac:dyDescent="0.25">
      <c r="A13" s="5"/>
      <c r="B13" s="6" t="s">
        <v>26</v>
      </c>
      <c r="C13" s="6" t="s">
        <v>27</v>
      </c>
      <c r="D13" s="7" t="s">
        <v>28</v>
      </c>
    </row>
    <row r="14" spans="1:5" x14ac:dyDescent="0.25">
      <c r="A14" s="5"/>
      <c r="B14" s="6" t="s">
        <v>26</v>
      </c>
      <c r="C14" s="6" t="s">
        <v>29</v>
      </c>
      <c r="D14" s="7" t="s">
        <v>30</v>
      </c>
    </row>
    <row r="15" spans="1:5" x14ac:dyDescent="0.25">
      <c r="A15" s="5"/>
      <c r="B15" s="6" t="s">
        <v>26</v>
      </c>
      <c r="C15" s="6" t="s">
        <v>31</v>
      </c>
      <c r="D15" s="7" t="s">
        <v>33</v>
      </c>
    </row>
    <row r="16" spans="1:5" x14ac:dyDescent="0.25">
      <c r="A16" s="5"/>
      <c r="B16" s="6" t="s">
        <v>26</v>
      </c>
      <c r="C16" s="6" t="s">
        <v>32</v>
      </c>
      <c r="D16" s="7" t="s">
        <v>34</v>
      </c>
    </row>
    <row r="17" spans="1:4" x14ac:dyDescent="0.25">
      <c r="A17" s="8"/>
      <c r="B17" s="9" t="s">
        <v>26</v>
      </c>
      <c r="C17" s="9" t="s">
        <v>35</v>
      </c>
      <c r="D17" s="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Vedel Eriksen</dc:creator>
  <cp:lastModifiedBy>Anders Vedel Eriksen</cp:lastModifiedBy>
  <dcterms:created xsi:type="dcterms:W3CDTF">2025-09-28T11:47:03Z</dcterms:created>
  <dcterms:modified xsi:type="dcterms:W3CDTF">2025-09-28T12:35:50Z</dcterms:modified>
</cp:coreProperties>
</file>